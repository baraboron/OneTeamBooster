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S:\leegeS\03. DX\데이터요청\1. 데이터 제공 요청서\"/>
    </mc:Choice>
  </mc:AlternateContent>
  <xr:revisionPtr revIDLastSave="0" documentId="13_ncr:1_{120A0810-2375-4C15-8287-61BE21D755A0}" xr6:coauthVersionLast="47" xr6:coauthVersionMax="47" xr10:uidLastSave="{00000000-0000-0000-0000-000000000000}"/>
  <bookViews>
    <workbookView xWindow="28680" yWindow="-4065" windowWidth="29040" windowHeight="15720" xr2:uid="{BCBE9A94-3BA0-4FBD-ACA5-F83F082800A3}"/>
  </bookViews>
  <sheets>
    <sheet name="(작성 가이드)" sheetId="8" r:id="rId1"/>
    <sheet name="데이터 전체 리스트" sheetId="5" r:id="rId2"/>
    <sheet name="PI" sheetId="3" r:id="rId3"/>
    <sheet name="시스템리스트" sheetId="6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3" i="5" l="1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9" i="5"/>
  <c r="B10" i="5"/>
  <c r="B11" i="5"/>
  <c r="B12" i="5"/>
</calcChain>
</file>

<file path=xl/sharedStrings.xml><?xml version="1.0" encoding="utf-8"?>
<sst xmlns="http://schemas.openxmlformats.org/spreadsheetml/2006/main" count="77" uniqueCount="67">
  <si>
    <t>신청자 정보</t>
    <phoneticPr fontId="1" type="noConversion"/>
  </si>
  <si>
    <t>부서명</t>
    <phoneticPr fontId="1" type="noConversion"/>
  </si>
  <si>
    <t>이름</t>
    <phoneticPr fontId="1" type="noConversion"/>
  </si>
  <si>
    <t>시스템명</t>
    <phoneticPr fontId="1" type="noConversion"/>
  </si>
  <si>
    <t>컬럼명</t>
    <phoneticPr fontId="1" type="noConversion"/>
  </si>
  <si>
    <t>상세 메뉴</t>
    <phoneticPr fontId="1" type="noConversion"/>
  </si>
  <si>
    <t>비고</t>
    <phoneticPr fontId="1" type="noConversion"/>
  </si>
  <si>
    <t>PI</t>
  </si>
  <si>
    <t>WSRM</t>
  </si>
  <si>
    <t>WQMS</t>
  </si>
  <si>
    <t>WIRIS</t>
  </si>
  <si>
    <t>WSHE</t>
  </si>
  <si>
    <t>ERP</t>
  </si>
  <si>
    <t>WMS</t>
  </si>
  <si>
    <t>WLAW</t>
  </si>
  <si>
    <t>VOC</t>
  </si>
  <si>
    <t>No</t>
    <phoneticPr fontId="1" type="noConversion"/>
  </si>
  <si>
    <t>자동채번</t>
    <phoneticPr fontId="1" type="noConversion"/>
  </si>
  <si>
    <t>리스트 선택</t>
    <phoneticPr fontId="1" type="noConversion"/>
  </si>
  <si>
    <t xml:space="preserve">  문의</t>
  </si>
  <si>
    <t xml:space="preserve">  유의사항</t>
  </si>
  <si>
    <t>STEP 5</t>
  </si>
  <si>
    <t xml:space="preserve">  화면 캡처 삽입 및 번호 표기</t>
  </si>
  <si>
    <t>STEP 4</t>
  </si>
  <si>
    <t xml:space="preserve">  시스템별 탭 추가</t>
  </si>
  <si>
    <t>STEP 3</t>
  </si>
  <si>
    <t xml:space="preserve">  데이터 목록 작성</t>
  </si>
  <si>
    <t>STEP 2</t>
  </si>
  <si>
    <t xml:space="preserve">  신청자 정보 입력</t>
  </si>
  <si>
    <t>STEP 1</t>
  </si>
  <si>
    <t xml:space="preserve">  작성 순서</t>
  </si>
  <si>
    <t xml:space="preserve">  시트 구성</t>
  </si>
  <si>
    <t xml:space="preserve">  목적</t>
  </si>
  <si>
    <t>(예시)</t>
    <phoneticPr fontId="1" type="noConversion"/>
  </si>
  <si>
    <t>자재명</t>
  </si>
  <si>
    <t xml:space="preserve">설계(BOM) &gt; BOM 관리 &gt; 표준 BOM관리 &gt; BOM 모델 리스트 &gt; PJT 정보 </t>
  </si>
  <si>
    <t>Diff로 분류된 모든 설비 모델</t>
  </si>
  <si>
    <t>자재코드</t>
  </si>
  <si>
    <t>수량</t>
  </si>
  <si>
    <t>Diff로 분류된 모든 설비 모델</t>
    <phoneticPr fontId="1" type="noConversion"/>
  </si>
  <si>
    <t>협력사명</t>
    <phoneticPr fontId="1" type="noConversion"/>
  </si>
  <si>
    <t>계약/발주관리 &gt; 발주관리 &gt; 발주상세(요청부서)</t>
    <phoneticPr fontId="1" type="noConversion"/>
  </si>
  <si>
    <t>설계(BOM) &gt; BOM 관리 &gt; 표준 BOM 관리</t>
    <phoneticPr fontId="1" type="noConversion"/>
  </si>
  <si>
    <t>발주일자 2026/01/01 ~ 2026/06/12 조건</t>
    <phoneticPr fontId="1" type="noConversion"/>
  </si>
  <si>
    <t xml:space="preserve"> 데이터 요청 양식 작성 가이드</t>
    <phoneticPr fontId="1" type="noConversion"/>
  </si>
  <si>
    <t xml:space="preserve">  Tab 구성 안내</t>
  </si>
  <si>
    <t xml:space="preserve">  • Tab 1 [데이터 전체 리스트] : 신청자 정보와 요청 데이터 목록 전체를 이 탭에 작성합니다.
  • Tab 2~ [시스템별 캡처 탭]  : 요청 시스템마다 탭을 추가하고, 해당 시스템 화면을 캡처하여 삽입합니다.</t>
  </si>
  <si>
    <t xml:space="preserve">  전체 리스트 탭 상단의 신청자의 부서명과 이름을 입력합니다.</t>
    <phoneticPr fontId="1" type="noConversion"/>
  </si>
  <si>
    <t xml:space="preserve">  필요한 데이터를 행 단위로 입력합니다. 시스템명 선택 시 No가 자동으로 채번됩니다.</t>
    <phoneticPr fontId="1" type="noConversion"/>
  </si>
  <si>
    <t xml:space="preserve">  요청하는 시스템마다 시트 탭을 추가하고, 시스템명으로 탭 이름을 지정합니다.</t>
    <phoneticPr fontId="1" type="noConversion"/>
  </si>
  <si>
    <t>데이터 조건·기간 등 상세 설명이 필요한 경우 기재</t>
    <phoneticPr fontId="1" type="noConversion"/>
  </si>
  <si>
    <t xml:space="preserve">  ■ No 열은 수동으로 입력하지 않습니다. 시스템명 입력 시 자동으로 생성됩니다.</t>
    <phoneticPr fontId="1" type="noConversion"/>
  </si>
  <si>
    <t>1개씩 기재</t>
    <phoneticPr fontId="1" type="noConversion"/>
  </si>
  <si>
    <t>■ 작성된 예시 데이터는 삭제 후 기재 바랍니다.</t>
    <phoneticPr fontId="1" type="noConversion"/>
  </si>
  <si>
    <t>■ 작성된 예시 데이터는 삭제 후 기재 바라며, 시스템명 리스트에 없는 시스템은 별도 문의 바랍니다.</t>
    <phoneticPr fontId="1" type="noConversion"/>
  </si>
  <si>
    <t xml:space="preserve">  ■ 시스템명 리스트에 없는 시스템은 별도 문의 바랍니다.</t>
    <phoneticPr fontId="1" type="noConversion"/>
  </si>
  <si>
    <t xml:space="preserve">  ■ 데이터 접근 권한은 부서별로 상이할 수 있으며, 권한 범위에 따라 협의 후 제공 여부가 결정됩니다. (ERP, WSRM, WLAW 등)</t>
    <phoneticPr fontId="1" type="noConversion"/>
  </si>
  <si>
    <t xml:space="preserve">  시스템 화면을 캡처하여 해당 탭에 삽입하고, 전체 리스트에서 채번된 No(예: PI-01)를 해당하는 이미지(컬럼) 옆에 기재합니다.</t>
    <phoneticPr fontId="1" type="noConversion"/>
  </si>
  <si>
    <t xml:space="preserve">  ■ 작성되어 있는 예시 데이터는 모두 삭제 후 입력합니다.</t>
    <phoneticPr fontId="1" type="noConversion"/>
  </si>
  <si>
    <r>
      <t xml:space="preserve">  ■ 시스템이 여러 개인 경우, 시스템마다 별도 탭을 추가하여 캡처를 각각 삽입합니다. </t>
    </r>
    <r>
      <rPr>
        <sz val="10"/>
        <color rgb="FF0000FF"/>
        <rFont val="맑은 고딕"/>
        <family val="3"/>
        <charset val="129"/>
        <scheme val="minor"/>
      </rPr>
      <t>(시스템 당 시트 1개)</t>
    </r>
    <phoneticPr fontId="1" type="noConversion"/>
  </si>
  <si>
    <r>
      <t xml:space="preserve">  ■ 화면 캡처에 표기하는 번호는 전체 리스트의 No와 반드시 일치해야 합니다. </t>
    </r>
    <r>
      <rPr>
        <sz val="10"/>
        <color rgb="FF0000FF"/>
        <rFont val="맑은 고딕"/>
        <family val="3"/>
        <charset val="129"/>
        <scheme val="minor"/>
      </rPr>
      <t>(캡처 이미지의 요청하고자 하는 데이터 옆에 No 번호를 기재합니다.)</t>
    </r>
    <phoneticPr fontId="1" type="noConversion"/>
  </si>
  <si>
    <t xml:space="preserve">  ■ 본 요청은 시스템 조회 데이터에 한하며, 시스템 내 저장된 첨부파일은 제공되지 않습니다.</t>
    <phoneticPr fontId="1" type="noConversion"/>
  </si>
  <si>
    <t xml:space="preserve">  AX/DX G 로 데이터 요청 메일 발송</t>
    <phoneticPr fontId="1" type="noConversion"/>
  </si>
  <si>
    <t xml:space="preserve">  데이터 요청 관련 문의는 AX/DX G으로 연락 바랍니다. (수신: AX/DX G)</t>
    <phoneticPr fontId="1" type="noConversion"/>
  </si>
  <si>
    <t xml:space="preserve">   자동채번 된 No 번호를 필요한 컬럼 옆에 기재 바랍니다.</t>
    <phoneticPr fontId="1" type="noConversion"/>
  </si>
  <si>
    <r>
      <t xml:space="preserve">  AI 과제 수행 중 사내 시스템 데이터가 필요한 경우, 본 양식을 작성하여 </t>
    </r>
    <r>
      <rPr>
        <b/>
        <sz val="10"/>
        <rFont val="맑은 고딕"/>
        <family val="3"/>
        <charset val="129"/>
        <scheme val="minor"/>
      </rPr>
      <t>AX/DX G 수신으로 요청</t>
    </r>
    <r>
      <rPr>
        <sz val="10"/>
        <rFont val="맑은 고딕"/>
        <family val="3"/>
        <charset val="129"/>
        <scheme val="minor"/>
      </rPr>
      <t xml:space="preserve">해주시기 바랍니다.
  본 양식은 레거시 시스템에서 조회되는 데이터를 요청하기 위한 양식입니다. </t>
    </r>
    <r>
      <rPr>
        <sz val="10"/>
        <color rgb="FFC00000"/>
        <rFont val="맑은 고딕"/>
        <family val="3"/>
        <charset val="129"/>
        <scheme val="minor"/>
      </rPr>
      <t>시스템에 저장된 첨부파일 자체는 제공 대상이 아닙니다.</t>
    </r>
    <phoneticPr fontId="1" type="noConversion"/>
  </si>
  <si>
    <r>
      <t xml:space="preserve">  작성 완료된 파일을 저장 후 </t>
    </r>
    <r>
      <rPr>
        <b/>
        <sz val="10"/>
        <rFont val="맑은 고딕"/>
        <family val="3"/>
        <charset val="129"/>
        <scheme val="minor"/>
      </rPr>
      <t>AX/DX G 수신으로 하여 메일로 요청</t>
    </r>
    <r>
      <rPr>
        <sz val="10"/>
        <rFont val="맑은 고딕"/>
        <family val="3"/>
        <charset val="129"/>
        <scheme val="minor"/>
      </rPr>
      <t>합니다.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</si>
</sst>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i/>
      <sz val="8"/>
      <color theme="2" tint="-0.499984740745262"/>
      <name val="맑은 고딕"/>
      <family val="3"/>
      <charset val="129"/>
      <scheme val="minor"/>
    </font>
    <font>
      <sz val="11"/>
      <color theme="1"/>
      <name val="Calibri"/>
      <family val="2"/>
      <charset val="1"/>
    </font>
    <font>
      <sz val="11"/>
      <color theme="1"/>
      <name val="맑은 고딕"/>
      <family val="3"/>
      <charset val="129"/>
      <scheme val="minor"/>
    </font>
    <font>
      <b/>
      <sz val="16"/>
      <color rgb="FFFFFFFF"/>
      <name val="맑은 고딕"/>
      <family val="3"/>
      <charset val="129"/>
      <scheme val="minor"/>
    </font>
    <font>
      <b/>
      <sz val="10"/>
      <color rgb="FFFFFFFF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rgb="FF1F3864"/>
      <name val="맑은 고딕"/>
      <family val="3"/>
      <charset val="129"/>
      <scheme val="minor"/>
    </font>
    <font>
      <b/>
      <sz val="9"/>
      <color rgb="FFFFFFFF"/>
      <name val="맑은 고딕"/>
      <family val="3"/>
      <charset val="129"/>
      <scheme val="minor"/>
    </font>
    <font>
      <sz val="10"/>
      <color rgb="FF7F3F00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0"/>
      <color rgb="FFC00000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D6E4F7"/>
        <bgColor rgb="FFDCE6F1"/>
      </patternFill>
    </fill>
    <fill>
      <patternFill patternType="solid">
        <fgColor rgb="FF2F5496"/>
        <bgColor rgb="FF1F3864"/>
      </patternFill>
    </fill>
    <fill>
      <patternFill patternType="solid">
        <fgColor rgb="FFFFF2CC"/>
        <bgColor rgb="FFFCE4D6"/>
      </patternFill>
    </fill>
    <fill>
      <patternFill patternType="solid">
        <fgColor rgb="FFF2F2F2"/>
        <bgColor rgb="FFEDEBF4"/>
      </patternFill>
    </fill>
    <fill>
      <patternFill patternType="solid">
        <fgColor rgb="FF4472C4"/>
        <bgColor rgb="FF666699"/>
      </patternFill>
    </fill>
    <fill>
      <patternFill patternType="solid">
        <fgColor rgb="FFFFFFFF"/>
        <bgColor rgb="FFF2F2F2"/>
      </patternFill>
    </fill>
    <fill>
      <patternFill patternType="solid">
        <fgColor rgb="FF1F3864"/>
        <bgColor rgb="FF333333"/>
      </patternFill>
    </fill>
    <fill>
      <patternFill patternType="solid">
        <fgColor theme="8" tint="0.79998168889431442"/>
        <bgColor rgb="FFD6E4F7"/>
      </patternFill>
    </fill>
    <fill>
      <patternFill patternType="solid">
        <fgColor theme="8" tint="0.79998168889431442"/>
        <bgColor rgb="FFDCE6F1"/>
      </patternFill>
    </fill>
    <fill>
      <patternFill patternType="solid">
        <fgColor theme="8" tint="0.79998168889431442"/>
        <bgColor rgb="FFFCE4D6"/>
      </patternFill>
    </fill>
    <fill>
      <patternFill patternType="solid">
        <fgColor theme="8" tint="0.79998168889431442"/>
        <bgColor rgb="FFFFF2CC"/>
      </patternFill>
    </fill>
    <fill>
      <patternFill patternType="solid">
        <fgColor theme="8" tint="0.79998168889431442"/>
        <bgColor rgb="FFF2F2F2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ED7D31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4472C4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6" fillId="0" borderId="0"/>
  </cellStyleXfs>
  <cellXfs count="28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7" fillId="0" borderId="0" xfId="1" applyFont="1"/>
    <xf numFmtId="0" fontId="13" fillId="7" borderId="3" xfId="1" applyFont="1" applyFill="1" applyBorder="1" applyAlignment="1">
      <alignment horizontal="center" vertical="center"/>
    </xf>
    <xf numFmtId="0" fontId="12" fillId="10" borderId="3" xfId="1" applyFont="1" applyFill="1" applyBorder="1" applyAlignment="1">
      <alignment horizontal="left" vertical="center"/>
    </xf>
    <xf numFmtId="0" fontId="10" fillId="6" borderId="3" xfId="1" applyFont="1" applyFill="1" applyBorder="1" applyAlignment="1">
      <alignment horizontal="left" vertical="center" wrapText="1"/>
    </xf>
    <xf numFmtId="0" fontId="12" fillId="11" borderId="3" xfId="1" applyFont="1" applyFill="1" applyBorder="1" applyAlignment="1">
      <alignment horizontal="left" vertical="center"/>
    </xf>
    <xf numFmtId="0" fontId="12" fillId="12" borderId="3" xfId="1" applyFont="1" applyFill="1" applyBorder="1" applyAlignment="1">
      <alignment horizontal="left" vertical="center"/>
    </xf>
    <xf numFmtId="0" fontId="12" fillId="13" borderId="3" xfId="1" applyFont="1" applyFill="1" applyBorder="1" applyAlignment="1">
      <alignment horizontal="left" vertical="center"/>
    </xf>
    <xf numFmtId="0" fontId="12" fillId="14" borderId="3" xfId="1" applyFont="1" applyFill="1" applyBorder="1" applyAlignment="1">
      <alignment horizontal="left" vertical="center"/>
    </xf>
    <xf numFmtId="0" fontId="15" fillId="15" borderId="1" xfId="0" applyFont="1" applyFill="1" applyBorder="1" applyAlignment="1">
      <alignment horizontal="center" vertical="center"/>
    </xf>
    <xf numFmtId="0" fontId="16" fillId="0" borderId="0" xfId="0" applyFont="1">
      <alignment vertical="center"/>
    </xf>
    <xf numFmtId="0" fontId="15" fillId="0" borderId="0" xfId="0" applyFont="1">
      <alignment vertical="center"/>
    </xf>
    <xf numFmtId="0" fontId="14" fillId="5" borderId="2" xfId="1" applyFont="1" applyFill="1" applyBorder="1" applyAlignment="1">
      <alignment horizontal="left" vertical="center" wrapText="1"/>
    </xf>
    <xf numFmtId="0" fontId="14" fillId="5" borderId="5" xfId="1" applyFont="1" applyFill="1" applyBorder="1" applyAlignment="1">
      <alignment horizontal="left" vertical="center" wrapText="1"/>
    </xf>
    <xf numFmtId="0" fontId="9" fillId="4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/>
    </xf>
    <xf numFmtId="0" fontId="10" fillId="8" borderId="4" xfId="1" applyFont="1" applyFill="1" applyBorder="1" applyAlignment="1">
      <alignment horizontal="left" vertical="center" wrapText="1"/>
    </xf>
    <xf numFmtId="0" fontId="8" fillId="9" borderId="0" xfId="1" applyFont="1" applyFill="1" applyAlignment="1">
      <alignment horizontal="left" vertical="center"/>
    </xf>
    <xf numFmtId="0" fontId="10" fillId="3" borderId="0" xfId="1" applyFont="1" applyFill="1" applyAlignment="1">
      <alignment horizontal="left" vertical="center" wrapText="1"/>
    </xf>
    <xf numFmtId="0" fontId="12" fillId="6" borderId="0" xfId="1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1CF46113-61BF-43C3-9E49-63B91CE0BAC2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381000</xdr:colOff>
      <xdr:row>4</xdr:row>
      <xdr:rowOff>76200</xdr:rowOff>
    </xdr:from>
    <xdr:to>
      <xdr:col>14</xdr:col>
      <xdr:colOff>609599</xdr:colOff>
      <xdr:row>27</xdr:row>
      <xdr:rowOff>98826</xdr:rowOff>
    </xdr:to>
    <xdr:grpSp>
      <xdr:nvGrpSpPr>
        <xdr:cNvPr id="10" name="그룹 9">
          <a:extLst>
            <a:ext uri="{FF2B5EF4-FFF2-40B4-BE49-F238E27FC236}">
              <a16:creationId xmlns:a16="http://schemas.microsoft.com/office/drawing/2014/main" id="{923F1DCF-305A-4D18-9EC8-09C06B01FF8E}"/>
            </a:ext>
          </a:extLst>
        </xdr:cNvPr>
        <xdr:cNvGrpSpPr/>
      </xdr:nvGrpSpPr>
      <xdr:grpSpPr>
        <a:xfrm>
          <a:off x="600075" y="952500"/>
          <a:ext cx="8896349" cy="5057541"/>
          <a:chOff x="493059" y="1065465"/>
          <a:chExt cx="9143999" cy="4842276"/>
        </a:xfrm>
      </xdr:grpSpPr>
      <xdr:pic>
        <xdr:nvPicPr>
          <xdr:cNvPr id="11" name="그림 10">
            <a:extLst>
              <a:ext uri="{FF2B5EF4-FFF2-40B4-BE49-F238E27FC236}">
                <a16:creationId xmlns:a16="http://schemas.microsoft.com/office/drawing/2014/main" id="{7CD3E10F-389E-49B1-BA9D-8A57A6CBB2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493059" y="1065465"/>
            <a:ext cx="4664039" cy="2093823"/>
          </a:xfrm>
          <a:prstGeom prst="rect">
            <a:avLst/>
          </a:prstGeom>
        </xdr:spPr>
      </xdr:pic>
      <xdr:sp macro="" textlink="">
        <xdr:nvSpPr>
          <xdr:cNvPr id="12" name="사각형: 둥근 모서리 11">
            <a:extLst>
              <a:ext uri="{FF2B5EF4-FFF2-40B4-BE49-F238E27FC236}">
                <a16:creationId xmlns:a16="http://schemas.microsoft.com/office/drawing/2014/main" id="{B673C2F9-4241-4367-8BD7-0460F9D90E73}"/>
              </a:ext>
            </a:extLst>
          </xdr:cNvPr>
          <xdr:cNvSpPr/>
        </xdr:nvSpPr>
        <xdr:spPr>
          <a:xfrm>
            <a:off x="2501152" y="1586753"/>
            <a:ext cx="878542" cy="340659"/>
          </a:xfrm>
          <a:prstGeom prst="roundRect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3600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endParaRPr lang="ko-KR" altLang="en-US" sz="1400">
              <a:ln>
                <a:solidFill>
                  <a:schemeClr val="tx1">
                    <a:lumMod val="50000"/>
                    <a:lumOff val="50000"/>
                    <a:alpha val="0"/>
                  </a:schemeClr>
                </a:solidFill>
              </a:ln>
              <a:solidFill>
                <a:schemeClr val="tx1"/>
              </a:solidFill>
              <a:latin typeface="+mn-ea"/>
            </a:endParaRPr>
          </a:p>
        </xdr:txBody>
      </xdr:sp>
      <xdr:sp macro="" textlink="">
        <xdr:nvSpPr>
          <xdr:cNvPr id="13" name="타원 12">
            <a:extLst>
              <a:ext uri="{FF2B5EF4-FFF2-40B4-BE49-F238E27FC236}">
                <a16:creationId xmlns:a16="http://schemas.microsoft.com/office/drawing/2014/main" id="{C2EC4C39-ED45-4555-B679-13793A3F1118}"/>
              </a:ext>
            </a:extLst>
          </xdr:cNvPr>
          <xdr:cNvSpPr/>
        </xdr:nvSpPr>
        <xdr:spPr>
          <a:xfrm>
            <a:off x="3451412" y="1470212"/>
            <a:ext cx="286870" cy="286870"/>
          </a:xfrm>
          <a:prstGeom prst="ellipse">
            <a:avLst/>
          </a:prstGeom>
          <a:noFill/>
          <a:ln w="28575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wrap="square" lIns="0" tIns="36000" rIns="0" bIns="0" rtlCol="0" anchor="ctr"/>
          <a:lstStyle>
            <a:defPPr>
              <a:defRPr lang="en-US"/>
            </a:defPPr>
            <a:lvl1pPr marL="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1pPr>
            <a:lvl2pPr marL="457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2pPr>
            <a:lvl3pPr marL="914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3pPr>
            <a:lvl4pPr marL="1371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4pPr>
            <a:lvl5pPr marL="18288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5pPr>
            <a:lvl6pPr marL="22860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6pPr>
            <a:lvl7pPr marL="27432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7pPr>
            <a:lvl8pPr marL="32004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8pPr>
            <a:lvl9pPr marL="3657600" algn="l" defTabSz="457200" rtl="0" eaLnBrk="1" latinLnBrk="0" hangingPunct="1">
              <a:defRPr sz="1800" kern="1200">
                <a:solidFill>
                  <a:schemeClr val="lt1"/>
                </a:solidFill>
                <a:latin typeface="+mn-lt"/>
                <a:ea typeface="+mn-ea"/>
                <a:cs typeface="+mn-cs"/>
              </a:defRPr>
            </a:lvl9pPr>
          </a:lstStyle>
          <a:p>
            <a:pPr algn="ctr"/>
            <a:r>
              <a:rPr lang="en-US" altLang="ko-KR" sz="1400" b="1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rPr>
              <a:t>1</a:t>
            </a:r>
            <a:endParaRPr lang="ko-KR" altLang="en-US" sz="1400" b="1">
              <a:ln>
                <a:solidFill>
                  <a:schemeClr val="tx1">
                    <a:lumMod val="50000"/>
                    <a:lumOff val="50000"/>
                    <a:alpha val="0"/>
                  </a:schemeClr>
                </a:solidFill>
              </a:ln>
              <a:solidFill>
                <a:schemeClr val="tx1"/>
              </a:solidFill>
              <a:latin typeface="+mn-ea"/>
            </a:endParaRPr>
          </a:p>
        </xdr:txBody>
      </xdr:sp>
      <xdr:grpSp>
        <xdr:nvGrpSpPr>
          <xdr:cNvPr id="14" name="그룹 13">
            <a:extLst>
              <a:ext uri="{FF2B5EF4-FFF2-40B4-BE49-F238E27FC236}">
                <a16:creationId xmlns:a16="http://schemas.microsoft.com/office/drawing/2014/main" id="{9964BCEF-06DD-435F-A096-9B96C2E0BC88}"/>
              </a:ext>
            </a:extLst>
          </xdr:cNvPr>
          <xdr:cNvGrpSpPr/>
        </xdr:nvGrpSpPr>
        <xdr:grpSpPr>
          <a:xfrm>
            <a:off x="5091662" y="1065465"/>
            <a:ext cx="4545396" cy="2374204"/>
            <a:chOff x="5091662" y="1065465"/>
            <a:chExt cx="4545396" cy="2374204"/>
          </a:xfrm>
        </xdr:grpSpPr>
        <xdr:pic>
          <xdr:nvPicPr>
            <xdr:cNvPr id="24" name="그림 23">
              <a:extLst>
                <a:ext uri="{FF2B5EF4-FFF2-40B4-BE49-F238E27FC236}">
                  <a16:creationId xmlns:a16="http://schemas.microsoft.com/office/drawing/2014/main" id="{F762EABB-1368-49D5-9F1B-D0D72086AC26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5091663" y="1065465"/>
              <a:ext cx="3828220" cy="2374204"/>
            </a:xfrm>
            <a:prstGeom prst="rect">
              <a:avLst/>
            </a:prstGeom>
          </xdr:spPr>
        </xdr:pic>
        <xdr:sp macro="" textlink="">
          <xdr:nvSpPr>
            <xdr:cNvPr id="25" name="사각형: 둥근 모서리 24">
              <a:extLst>
                <a:ext uri="{FF2B5EF4-FFF2-40B4-BE49-F238E27FC236}">
                  <a16:creationId xmlns:a16="http://schemas.microsoft.com/office/drawing/2014/main" id="{058955E0-36D8-446B-8A24-F611027BAEB7}"/>
                </a:ext>
              </a:extLst>
            </xdr:cNvPr>
            <xdr:cNvSpPr/>
          </xdr:nvSpPr>
          <xdr:spPr>
            <a:xfrm>
              <a:off x="5091662" y="1558421"/>
              <a:ext cx="3828220" cy="619618"/>
            </a:xfrm>
            <a:prstGeom prst="round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  <xdr:sp macro="" textlink="">
          <xdr:nvSpPr>
            <xdr:cNvPr id="26" name="타원 25">
              <a:extLst>
                <a:ext uri="{FF2B5EF4-FFF2-40B4-BE49-F238E27FC236}">
                  <a16:creationId xmlns:a16="http://schemas.microsoft.com/office/drawing/2014/main" id="{94EA6A81-3DCA-4F95-B9F1-5A8092E23E26}"/>
                </a:ext>
              </a:extLst>
            </xdr:cNvPr>
            <xdr:cNvSpPr/>
          </xdr:nvSpPr>
          <xdr:spPr>
            <a:xfrm>
              <a:off x="7837691" y="2237570"/>
              <a:ext cx="286870" cy="286870"/>
            </a:xfrm>
            <a:prstGeom prst="ellipse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400" b="1">
                  <a:ln>
                    <a:solidFill>
                      <a:schemeClr val="tx1">
                        <a:lumMod val="50000"/>
                        <a:lumOff val="50000"/>
                        <a:alpha val="0"/>
                      </a:schemeClr>
                    </a:solidFill>
                  </a:ln>
                  <a:solidFill>
                    <a:schemeClr val="tx1"/>
                  </a:solidFill>
                  <a:latin typeface="+mn-ea"/>
                </a:rPr>
                <a:t>2</a:t>
              </a:r>
              <a:endParaRPr lang="ko-KR" altLang="en-US" sz="1400" b="1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  <xdr:sp macro="" textlink="">
          <xdr:nvSpPr>
            <xdr:cNvPr id="27" name="TextBox 11">
              <a:extLst>
                <a:ext uri="{FF2B5EF4-FFF2-40B4-BE49-F238E27FC236}">
                  <a16:creationId xmlns:a16="http://schemas.microsoft.com/office/drawing/2014/main" id="{394ABF86-8055-43C7-8342-5BC877117A59}"/>
                </a:ext>
              </a:extLst>
            </xdr:cNvPr>
            <xdr:cNvSpPr txBox="1"/>
          </xdr:nvSpPr>
          <xdr:spPr>
            <a:xfrm>
              <a:off x="6911788" y="2583971"/>
              <a:ext cx="2725270" cy="205629"/>
            </a:xfrm>
            <a:prstGeom prst="rect">
              <a:avLst/>
            </a:prstGeom>
            <a:noFill/>
          </xdr:spPr>
          <xdr:txBody>
            <a:bodyPr wrap="square" lIns="0" tIns="36000" rIns="0" bIns="0" rtlCol="0">
              <a:spAutoFit/>
            </a:bodyPr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l"/>
              <a:r>
                <a:rPr lang="en-US" altLang="ko-KR" sz="1100" b="1" i="1">
                  <a:latin typeface="+mn-ea"/>
                </a:rPr>
                <a:t>Diff</a:t>
              </a:r>
              <a:r>
                <a:rPr lang="ko-KR" altLang="en-US" sz="1100" b="1" i="1">
                  <a:latin typeface="+mn-ea"/>
                </a:rPr>
                <a:t>으로 분류된 모든 설비 모델</a:t>
              </a:r>
            </a:p>
          </xdr:txBody>
        </xdr:sp>
        <xdr:sp macro="" textlink="">
          <xdr:nvSpPr>
            <xdr:cNvPr id="28" name="사각형: 둥근 모서리 27">
              <a:extLst>
                <a:ext uri="{FF2B5EF4-FFF2-40B4-BE49-F238E27FC236}">
                  <a16:creationId xmlns:a16="http://schemas.microsoft.com/office/drawing/2014/main" id="{BC4D6E30-86AF-40A1-B837-E599A0EA9458}"/>
                </a:ext>
              </a:extLst>
            </xdr:cNvPr>
            <xdr:cNvSpPr/>
          </xdr:nvSpPr>
          <xdr:spPr>
            <a:xfrm>
              <a:off x="5414391" y="2231395"/>
              <a:ext cx="477813" cy="99740"/>
            </a:xfrm>
            <a:prstGeom prst="roundRect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  <xdr:sp macro="" textlink="">
          <xdr:nvSpPr>
            <xdr:cNvPr id="29" name="타원 28">
              <a:extLst>
                <a:ext uri="{FF2B5EF4-FFF2-40B4-BE49-F238E27FC236}">
                  <a16:creationId xmlns:a16="http://schemas.microsoft.com/office/drawing/2014/main" id="{C8D0685C-1A9E-42CA-B8F5-176535A1C705}"/>
                </a:ext>
              </a:extLst>
            </xdr:cNvPr>
            <xdr:cNvSpPr/>
          </xdr:nvSpPr>
          <xdr:spPr>
            <a:xfrm>
              <a:off x="5508740" y="2398348"/>
              <a:ext cx="286870" cy="286870"/>
            </a:xfrm>
            <a:prstGeom prst="ellipse">
              <a:avLst/>
            </a:prstGeom>
            <a:noFill/>
            <a:ln w="28575">
              <a:solidFill>
                <a:srgbClr val="FF0000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r>
                <a:rPr lang="en-US" altLang="ko-KR" sz="1400" b="1">
                  <a:ln>
                    <a:solidFill>
                      <a:schemeClr val="tx1">
                        <a:lumMod val="50000"/>
                        <a:lumOff val="50000"/>
                        <a:alpha val="0"/>
                      </a:schemeClr>
                    </a:solidFill>
                  </a:ln>
                  <a:solidFill>
                    <a:schemeClr val="tx1"/>
                  </a:solidFill>
                  <a:latin typeface="+mn-ea"/>
                </a:rPr>
                <a:t>3</a:t>
              </a:r>
              <a:endParaRPr lang="ko-KR" altLang="en-US" sz="1400" b="1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</xdr:grpSp>
      <xdr:cxnSp macro="">
        <xdr:nvCxnSpPr>
          <xdr:cNvPr id="15" name="직선 화살표 연결선 14">
            <a:extLst>
              <a:ext uri="{FF2B5EF4-FFF2-40B4-BE49-F238E27FC236}">
                <a16:creationId xmlns:a16="http://schemas.microsoft.com/office/drawing/2014/main" id="{0203BC7D-F11F-411F-BBDC-CE4A3B66FF38}"/>
              </a:ext>
            </a:extLst>
          </xdr:cNvPr>
          <xdr:cNvCxnSpPr/>
        </xdr:nvCxnSpPr>
        <xdr:spPr>
          <a:xfrm flipH="1">
            <a:off x="4424011" y="2657264"/>
            <a:ext cx="1111623" cy="1004047"/>
          </a:xfrm>
          <a:prstGeom prst="straightConnector1">
            <a:avLst/>
          </a:prstGeom>
          <a:ln w="38100"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grpSp>
        <xdr:nvGrpSpPr>
          <xdr:cNvPr id="16" name="그룹 15">
            <a:extLst>
              <a:ext uri="{FF2B5EF4-FFF2-40B4-BE49-F238E27FC236}">
                <a16:creationId xmlns:a16="http://schemas.microsoft.com/office/drawing/2014/main" id="{F10F5ECD-C10A-410A-983C-1FF82EADC8F7}"/>
              </a:ext>
            </a:extLst>
          </xdr:cNvPr>
          <xdr:cNvGrpSpPr/>
        </xdr:nvGrpSpPr>
        <xdr:grpSpPr>
          <a:xfrm>
            <a:off x="493059" y="3728811"/>
            <a:ext cx="8667586" cy="2178930"/>
            <a:chOff x="493059" y="3728811"/>
            <a:chExt cx="8667586" cy="2178930"/>
          </a:xfrm>
        </xdr:grpSpPr>
        <xdr:pic>
          <xdr:nvPicPr>
            <xdr:cNvPr id="20" name="그림 19">
              <a:extLst>
                <a:ext uri="{FF2B5EF4-FFF2-40B4-BE49-F238E27FC236}">
                  <a16:creationId xmlns:a16="http://schemas.microsoft.com/office/drawing/2014/main" id="{C783694C-3324-4EAD-ABAC-C102C7E214B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493059" y="3728811"/>
              <a:ext cx="8667586" cy="2178930"/>
            </a:xfrm>
            <a:prstGeom prst="rect">
              <a:avLst/>
            </a:prstGeom>
          </xdr:spPr>
        </xdr:pic>
        <xdr:sp macro="" textlink="">
          <xdr:nvSpPr>
            <xdr:cNvPr id="21" name="사각형: 둥근 모서리 20">
              <a:extLst>
                <a:ext uri="{FF2B5EF4-FFF2-40B4-BE49-F238E27FC236}">
                  <a16:creationId xmlns:a16="http://schemas.microsoft.com/office/drawing/2014/main" id="{1DE64A39-9F36-44EB-94A5-148351A1C0D4}"/>
                </a:ext>
              </a:extLst>
            </xdr:cNvPr>
            <xdr:cNvSpPr/>
          </xdr:nvSpPr>
          <xdr:spPr>
            <a:xfrm>
              <a:off x="493060" y="3728811"/>
              <a:ext cx="1138516" cy="2178930"/>
            </a:xfrm>
            <a:prstGeom prst="round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  <xdr:sp macro="" textlink="">
          <xdr:nvSpPr>
            <xdr:cNvPr id="22" name="사각형: 둥근 모서리 21">
              <a:extLst>
                <a:ext uri="{FF2B5EF4-FFF2-40B4-BE49-F238E27FC236}">
                  <a16:creationId xmlns:a16="http://schemas.microsoft.com/office/drawing/2014/main" id="{6B6B940B-9AFC-478A-AE89-E42C35B2FA3F}"/>
                </a:ext>
              </a:extLst>
            </xdr:cNvPr>
            <xdr:cNvSpPr/>
          </xdr:nvSpPr>
          <xdr:spPr>
            <a:xfrm>
              <a:off x="1631575" y="3728811"/>
              <a:ext cx="869577" cy="2178930"/>
            </a:xfrm>
            <a:prstGeom prst="round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  <xdr:sp macro="" textlink="">
          <xdr:nvSpPr>
            <xdr:cNvPr id="23" name="사각형: 둥근 모서리 22">
              <a:extLst>
                <a:ext uri="{FF2B5EF4-FFF2-40B4-BE49-F238E27FC236}">
                  <a16:creationId xmlns:a16="http://schemas.microsoft.com/office/drawing/2014/main" id="{CF438B4E-9CD7-4871-A65D-FEA359F348FE}"/>
                </a:ext>
              </a:extLst>
            </xdr:cNvPr>
            <xdr:cNvSpPr/>
          </xdr:nvSpPr>
          <xdr:spPr>
            <a:xfrm>
              <a:off x="3160059" y="3728811"/>
              <a:ext cx="291354" cy="2178930"/>
            </a:xfrm>
            <a:prstGeom prst="roundRect">
              <a:avLst/>
            </a:prstGeom>
            <a:noFill/>
            <a:ln w="28575">
              <a:solidFill>
                <a:schemeClr val="tx1"/>
              </a:solidFill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wrap="square" lIns="0" tIns="36000" rIns="0" bIns="0" rtlCol="0" anchor="ctr"/>
            <a:lstStyle>
              <a:defPPr>
                <a:defRPr lang="en-US"/>
              </a:defPPr>
              <a:lvl1pPr marL="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1pPr>
              <a:lvl2pPr marL="457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2pPr>
              <a:lvl3pPr marL="914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3pPr>
              <a:lvl4pPr marL="1371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4pPr>
              <a:lvl5pPr marL="18288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5pPr>
              <a:lvl6pPr marL="22860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6pPr>
              <a:lvl7pPr marL="27432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7pPr>
              <a:lvl8pPr marL="32004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8pPr>
              <a:lvl9pPr marL="3657600" algn="l" defTabSz="457200" rtl="0" eaLnBrk="1" latinLnBrk="0" hangingPunct="1">
                <a:defRPr sz="1800" kern="120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lvl9pPr>
            </a:lstStyle>
            <a:p>
              <a:pPr algn="ctr"/>
              <a:endParaRPr lang="ko-KR" altLang="en-US" sz="1400">
                <a:ln>
                  <a:solidFill>
                    <a:schemeClr val="tx1">
                      <a:lumMod val="50000"/>
                      <a:lumOff val="50000"/>
                      <a:alpha val="0"/>
                    </a:schemeClr>
                  </a:solidFill>
                </a:ln>
                <a:solidFill>
                  <a:schemeClr val="tx1"/>
                </a:solidFill>
                <a:latin typeface="+mn-ea"/>
              </a:endParaRPr>
            </a:p>
          </xdr:txBody>
        </xdr:sp>
      </xdr:grpSp>
    </xdr:grpSp>
    <xdr:clientData/>
  </xdr:twoCellAnchor>
  <xdr:oneCellAnchor>
    <xdr:from>
      <xdr:col>3</xdr:col>
      <xdr:colOff>263337</xdr:colOff>
      <xdr:row>15</xdr:row>
      <xdr:rowOff>98051</xdr:rowOff>
    </xdr:from>
    <xdr:ext cx="633058" cy="402803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7476FB2-0FE8-4E2D-B974-2B83002B8EEF}"/>
            </a:ext>
          </a:extLst>
        </xdr:cNvPr>
        <xdr:cNvSpPr txBox="1"/>
      </xdr:nvSpPr>
      <xdr:spPr>
        <a:xfrm>
          <a:off x="2314013" y="3291727"/>
          <a:ext cx="633058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altLang="ko-KR" sz="1400" b="1">
              <a:solidFill>
                <a:srgbClr val="FF0000"/>
              </a:solidFill>
              <a:latin typeface="+mn-ea"/>
              <a:ea typeface="+mn-ea"/>
              <a:cs typeface="+mn-cs"/>
            </a:rPr>
            <a:t>PI-02</a:t>
          </a:r>
          <a:endParaRPr lang="ko-KR" altLang="en-US" sz="1400" b="1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  <xdr:oneCellAnchor>
    <xdr:from>
      <xdr:col>5</xdr:col>
      <xdr:colOff>174811</xdr:colOff>
      <xdr:row>15</xdr:row>
      <xdr:rowOff>82924</xdr:rowOff>
    </xdr:from>
    <xdr:ext cx="633058" cy="402803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AE8E7352-9E03-493A-B8BA-D5E89DE6E8B0}"/>
            </a:ext>
          </a:extLst>
        </xdr:cNvPr>
        <xdr:cNvSpPr txBox="1"/>
      </xdr:nvSpPr>
      <xdr:spPr>
        <a:xfrm>
          <a:off x="3592605" y="3276600"/>
          <a:ext cx="633058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altLang="ko-KR" sz="1400" b="1">
              <a:solidFill>
                <a:srgbClr val="FF0000"/>
              </a:solidFill>
              <a:latin typeface="+mn-ea"/>
              <a:ea typeface="+mn-ea"/>
            </a:rPr>
            <a:t>PI-03</a:t>
          </a:r>
          <a:endParaRPr lang="ko-KR" altLang="en-US" sz="1400" b="1">
            <a:solidFill>
              <a:srgbClr val="FF0000"/>
            </a:solidFill>
            <a:latin typeface="+mn-ea"/>
            <a:ea typeface="+mn-ea"/>
          </a:endParaRPr>
        </a:p>
      </xdr:txBody>
    </xdr:sp>
    <xdr:clientData/>
  </xdr:oneCellAnchor>
  <xdr:oneCellAnchor>
    <xdr:from>
      <xdr:col>1</xdr:col>
      <xdr:colOff>674371</xdr:colOff>
      <xdr:row>15</xdr:row>
      <xdr:rowOff>114077</xdr:rowOff>
    </xdr:from>
    <xdr:ext cx="633058" cy="402803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A332342-8761-4D90-97E2-D715691E826E}"/>
            </a:ext>
          </a:extLst>
        </xdr:cNvPr>
        <xdr:cNvSpPr txBox="1"/>
      </xdr:nvSpPr>
      <xdr:spPr>
        <a:xfrm>
          <a:off x="1357930" y="3307753"/>
          <a:ext cx="633058" cy="40280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pPr marL="0" indent="0"/>
          <a:r>
            <a:rPr lang="en-US" altLang="ko-KR" sz="1400" b="1">
              <a:solidFill>
                <a:srgbClr val="FF0000"/>
              </a:solidFill>
              <a:latin typeface="+mn-ea"/>
              <a:ea typeface="+mn-ea"/>
              <a:cs typeface="+mn-cs"/>
            </a:rPr>
            <a:t>PI-01</a:t>
          </a:r>
          <a:endParaRPr lang="ko-KR" altLang="en-US" sz="1400" b="1">
            <a:solidFill>
              <a:srgbClr val="FF0000"/>
            </a:solidFill>
            <a:latin typeface="+mn-ea"/>
            <a:ea typeface="+mn-ea"/>
            <a:cs typeface="+mn-cs"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B34F6-A8E6-4E5A-8B8E-850E48E7517C}">
  <dimension ref="B1:D31"/>
  <sheetViews>
    <sheetView showGridLines="0" tabSelected="1" zoomScaleNormal="100" workbookViewId="0"/>
  </sheetViews>
  <sheetFormatPr defaultColWidth="7.59765625" defaultRowHeight="17.399999999999999" x14ac:dyDescent="0.4"/>
  <cols>
    <col min="1" max="1" width="2.59765625" style="8" customWidth="1"/>
    <col min="2" max="2" width="9.8984375" style="8" customWidth="1"/>
    <col min="3" max="3" width="31.5" style="8" bestFit="1" customWidth="1"/>
    <col min="4" max="4" width="98.3984375" style="8" customWidth="1"/>
    <col min="5" max="5" width="2.59765625" style="8" customWidth="1"/>
    <col min="6" max="16384" width="7.59765625" style="8"/>
  </cols>
  <sheetData>
    <row r="1" spans="2:4" ht="13.5" customHeight="1" x14ac:dyDescent="0.4"/>
    <row r="2" spans="2:4" ht="36" customHeight="1" x14ac:dyDescent="0.4">
      <c r="B2" s="24" t="s">
        <v>44</v>
      </c>
      <c r="C2" s="24"/>
      <c r="D2" s="24"/>
    </row>
    <row r="3" spans="2:4" ht="19.5" customHeight="1" x14ac:dyDescent="0.4">
      <c r="B3" s="21" t="s">
        <v>32</v>
      </c>
      <c r="C3" s="21"/>
      <c r="D3" s="21"/>
    </row>
    <row r="4" spans="2:4" ht="42.75" customHeight="1" x14ac:dyDescent="0.4">
      <c r="B4" s="25" t="s">
        <v>65</v>
      </c>
      <c r="C4" s="25"/>
      <c r="D4" s="25"/>
    </row>
    <row r="5" spans="2:4" ht="13.5" customHeight="1" x14ac:dyDescent="0.4"/>
    <row r="6" spans="2:4" ht="21.75" customHeight="1" x14ac:dyDescent="0.4">
      <c r="B6" s="21" t="s">
        <v>31</v>
      </c>
      <c r="C6" s="21"/>
      <c r="D6" s="21"/>
    </row>
    <row r="7" spans="2:4" ht="13.5" customHeight="1" x14ac:dyDescent="0.4"/>
    <row r="8" spans="2:4" ht="21.75" customHeight="1" x14ac:dyDescent="0.4">
      <c r="B8" s="26" t="s">
        <v>45</v>
      </c>
      <c r="C8" s="26"/>
      <c r="D8" s="26"/>
    </row>
    <row r="9" spans="2:4" ht="51.75" customHeight="1" x14ac:dyDescent="0.4">
      <c r="B9" s="23" t="s">
        <v>46</v>
      </c>
      <c r="C9" s="23"/>
      <c r="D9" s="23"/>
    </row>
    <row r="10" spans="2:4" ht="13.5" customHeight="1" x14ac:dyDescent="0.4"/>
    <row r="11" spans="2:4" ht="21.75" customHeight="1" x14ac:dyDescent="0.4">
      <c r="B11" s="21" t="s">
        <v>30</v>
      </c>
      <c r="C11" s="21"/>
      <c r="D11" s="21"/>
    </row>
    <row r="12" spans="2:4" ht="39.75" customHeight="1" x14ac:dyDescent="0.4">
      <c r="B12" s="9" t="s">
        <v>29</v>
      </c>
      <c r="C12" s="10" t="s">
        <v>28</v>
      </c>
      <c r="D12" s="11" t="s">
        <v>47</v>
      </c>
    </row>
    <row r="13" spans="2:4" ht="39.75" customHeight="1" x14ac:dyDescent="0.4">
      <c r="B13" s="9" t="s">
        <v>27</v>
      </c>
      <c r="C13" s="12" t="s">
        <v>26</v>
      </c>
      <c r="D13" s="11" t="s">
        <v>48</v>
      </c>
    </row>
    <row r="14" spans="2:4" ht="39.75" customHeight="1" x14ac:dyDescent="0.4">
      <c r="B14" s="9" t="s">
        <v>25</v>
      </c>
      <c r="C14" s="13" t="s">
        <v>24</v>
      </c>
      <c r="D14" s="11" t="s">
        <v>49</v>
      </c>
    </row>
    <row r="15" spans="2:4" ht="39.75" customHeight="1" x14ac:dyDescent="0.4">
      <c r="B15" s="9" t="s">
        <v>23</v>
      </c>
      <c r="C15" s="14" t="s">
        <v>22</v>
      </c>
      <c r="D15" s="11" t="s">
        <v>57</v>
      </c>
    </row>
    <row r="16" spans="2:4" ht="39.75" customHeight="1" x14ac:dyDescent="0.4">
      <c r="B16" s="9" t="s">
        <v>21</v>
      </c>
      <c r="C16" s="15" t="s">
        <v>62</v>
      </c>
      <c r="D16" s="11" t="s">
        <v>66</v>
      </c>
    </row>
    <row r="17" spans="2:4" ht="13.5" customHeight="1" x14ac:dyDescent="0.4"/>
    <row r="18" spans="2:4" ht="21.75" customHeight="1" x14ac:dyDescent="0.4">
      <c r="B18" s="21" t="s">
        <v>20</v>
      </c>
      <c r="C18" s="21"/>
      <c r="D18" s="21"/>
    </row>
    <row r="19" spans="2:4" ht="39.75" customHeight="1" x14ac:dyDescent="0.4">
      <c r="B19" s="19" t="s">
        <v>55</v>
      </c>
      <c r="C19" s="19"/>
      <c r="D19" s="19"/>
    </row>
    <row r="20" spans="2:4" ht="39.75" customHeight="1" x14ac:dyDescent="0.4">
      <c r="B20" s="19" t="s">
        <v>58</v>
      </c>
      <c r="C20" s="19"/>
      <c r="D20" s="19"/>
    </row>
    <row r="21" spans="2:4" ht="39.75" customHeight="1" x14ac:dyDescent="0.4">
      <c r="B21" s="19" t="s">
        <v>51</v>
      </c>
      <c r="C21" s="19"/>
      <c r="D21" s="19"/>
    </row>
    <row r="22" spans="2:4" ht="39.75" customHeight="1" x14ac:dyDescent="0.4">
      <c r="B22" s="19" t="s">
        <v>60</v>
      </c>
      <c r="C22" s="19"/>
      <c r="D22" s="19"/>
    </row>
    <row r="23" spans="2:4" ht="39.75" customHeight="1" x14ac:dyDescent="0.4">
      <c r="B23" s="19" t="s">
        <v>59</v>
      </c>
      <c r="C23" s="20"/>
      <c r="D23" s="20"/>
    </row>
    <row r="24" spans="2:4" ht="39.75" customHeight="1" x14ac:dyDescent="0.4">
      <c r="B24" s="19" t="s">
        <v>61</v>
      </c>
      <c r="C24" s="20"/>
      <c r="D24" s="20"/>
    </row>
    <row r="25" spans="2:4" ht="39.6" customHeight="1" x14ac:dyDescent="0.4">
      <c r="B25" s="19" t="s">
        <v>56</v>
      </c>
      <c r="C25" s="20"/>
      <c r="D25" s="20"/>
    </row>
    <row r="26" spans="2:4" ht="21.75" customHeight="1" x14ac:dyDescent="0.4"/>
    <row r="27" spans="2:4" ht="23.4" customHeight="1" x14ac:dyDescent="0.4">
      <c r="B27" s="21" t="s">
        <v>19</v>
      </c>
      <c r="C27" s="21"/>
      <c r="D27" s="21"/>
    </row>
    <row r="28" spans="2:4" ht="38.25" customHeight="1" x14ac:dyDescent="0.4">
      <c r="B28" s="22" t="s">
        <v>63</v>
      </c>
      <c r="C28" s="22"/>
      <c r="D28" s="22"/>
    </row>
    <row r="29" spans="2:4" ht="21.75" customHeight="1" x14ac:dyDescent="0.4"/>
    <row r="30" spans="2:4" ht="39.75" customHeight="1" x14ac:dyDescent="0.4"/>
    <row r="31" spans="2:4" ht="13.5" customHeight="1" x14ac:dyDescent="0.4"/>
  </sheetData>
  <mergeCells count="17">
    <mergeCell ref="B2:D2"/>
    <mergeCell ref="B3:D3"/>
    <mergeCell ref="B4:D4"/>
    <mergeCell ref="B6:D6"/>
    <mergeCell ref="B8:D8"/>
    <mergeCell ref="B25:D25"/>
    <mergeCell ref="B27:D27"/>
    <mergeCell ref="B28:D28"/>
    <mergeCell ref="B9:D9"/>
    <mergeCell ref="B11:D11"/>
    <mergeCell ref="B18:D18"/>
    <mergeCell ref="B19:D19"/>
    <mergeCell ref="B22:D22"/>
    <mergeCell ref="B23:D23"/>
    <mergeCell ref="B21:D21"/>
    <mergeCell ref="B20:D20"/>
    <mergeCell ref="B24:D24"/>
  </mergeCells>
  <phoneticPr fontId="1" type="noConversion"/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531F-69AC-4B82-953F-7A91BDA34C0E}">
  <dimension ref="B2:G63"/>
  <sheetViews>
    <sheetView showGridLines="0" zoomScaleNormal="100" workbookViewId="0"/>
  </sheetViews>
  <sheetFormatPr defaultRowHeight="17.399999999999999" x14ac:dyDescent="0.4"/>
  <cols>
    <col min="1" max="1" width="3.3984375" customWidth="1"/>
    <col min="2" max="2" width="10.3984375" customWidth="1"/>
    <col min="3" max="3" width="17" customWidth="1"/>
    <col min="4" max="4" width="71.3984375" bestFit="1" customWidth="1"/>
    <col min="5" max="5" width="19.5" customWidth="1"/>
    <col min="6" max="6" width="38.3984375" customWidth="1"/>
  </cols>
  <sheetData>
    <row r="2" spans="2:7" x14ac:dyDescent="0.4">
      <c r="B2" s="27" t="s">
        <v>0</v>
      </c>
      <c r="C2" s="27"/>
    </row>
    <row r="3" spans="2:7" x14ac:dyDescent="0.4">
      <c r="B3" s="1" t="s">
        <v>1</v>
      </c>
      <c r="C3" s="2"/>
    </row>
    <row r="4" spans="2:7" x14ac:dyDescent="0.4">
      <c r="B4" s="1" t="s">
        <v>2</v>
      </c>
      <c r="C4" s="2"/>
    </row>
    <row r="6" spans="2:7" x14ac:dyDescent="0.4">
      <c r="B6" s="17" t="s">
        <v>54</v>
      </c>
    </row>
    <row r="7" spans="2:7" x14ac:dyDescent="0.4">
      <c r="B7" s="4" t="s">
        <v>17</v>
      </c>
      <c r="C7" s="4" t="s">
        <v>18</v>
      </c>
      <c r="D7" s="4"/>
      <c r="E7" s="4" t="s">
        <v>52</v>
      </c>
      <c r="F7" s="4" t="s">
        <v>50</v>
      </c>
    </row>
    <row r="8" spans="2:7" x14ac:dyDescent="0.4">
      <c r="B8" s="3" t="s">
        <v>16</v>
      </c>
      <c r="C8" s="3" t="s">
        <v>3</v>
      </c>
      <c r="D8" s="5" t="s">
        <v>5</v>
      </c>
      <c r="E8" s="3" t="s">
        <v>4</v>
      </c>
      <c r="F8" s="3" t="s">
        <v>6</v>
      </c>
    </row>
    <row r="9" spans="2:7" x14ac:dyDescent="0.4">
      <c r="B9" s="16" t="str">
        <f>IF(C9="","",C9&amp;"-"&amp;TEXT(COUNTIF($C$9:C9,C9),"00"))</f>
        <v>PI-01</v>
      </c>
      <c r="C9" s="16" t="s">
        <v>7</v>
      </c>
      <c r="D9" s="16" t="s">
        <v>35</v>
      </c>
      <c r="E9" s="16" t="s">
        <v>34</v>
      </c>
      <c r="F9" s="16" t="s">
        <v>39</v>
      </c>
      <c r="G9" s="4" t="s">
        <v>33</v>
      </c>
    </row>
    <row r="10" spans="2:7" x14ac:dyDescent="0.4">
      <c r="B10" s="16" t="str">
        <f>IF(C10="","",C10&amp;"-"&amp;TEXT(COUNTIF($C$9:C10,C10),"00"))</f>
        <v>PI-02</v>
      </c>
      <c r="C10" s="16" t="s">
        <v>7</v>
      </c>
      <c r="D10" s="16" t="s">
        <v>42</v>
      </c>
      <c r="E10" s="16" t="s">
        <v>37</v>
      </c>
      <c r="F10" s="16" t="s">
        <v>36</v>
      </c>
      <c r="G10" s="4" t="s">
        <v>33</v>
      </c>
    </row>
    <row r="11" spans="2:7" x14ac:dyDescent="0.4">
      <c r="B11" s="16" t="str">
        <f>IF(C11="","",C11&amp;"-"&amp;TEXT(COUNTIF($C$9:C11,C11),"00"))</f>
        <v>PI-03</v>
      </c>
      <c r="C11" s="16" t="s">
        <v>7</v>
      </c>
      <c r="D11" s="16" t="s">
        <v>42</v>
      </c>
      <c r="E11" s="16" t="s">
        <v>38</v>
      </c>
      <c r="F11" s="16" t="s">
        <v>36</v>
      </c>
      <c r="G11" s="4" t="s">
        <v>33</v>
      </c>
    </row>
    <row r="12" spans="2:7" x14ac:dyDescent="0.4">
      <c r="B12" s="16" t="str">
        <f>IF(C12="","",C12&amp;"-"&amp;TEXT(COUNTIF($C$9:C12,C12),"00"))</f>
        <v>WSRM-01</v>
      </c>
      <c r="C12" s="16" t="s">
        <v>8</v>
      </c>
      <c r="D12" s="16" t="s">
        <v>41</v>
      </c>
      <c r="E12" s="16" t="s">
        <v>40</v>
      </c>
      <c r="F12" s="16" t="s">
        <v>43</v>
      </c>
      <c r="G12" s="4" t="s">
        <v>33</v>
      </c>
    </row>
    <row r="13" spans="2:7" x14ac:dyDescent="0.4">
      <c r="B13" s="6" t="str">
        <f>IF(C13="","",C13&amp;"-"&amp;TEXT(COUNTIF($C$9:C13,C13),"00"))</f>
        <v/>
      </c>
      <c r="C13" s="6"/>
      <c r="D13" s="6"/>
      <c r="E13" s="6"/>
      <c r="F13" s="6"/>
      <c r="G13" s="7"/>
    </row>
    <row r="14" spans="2:7" x14ac:dyDescent="0.4">
      <c r="B14" s="6" t="str">
        <f>IF(C14="","",C14&amp;"-"&amp;TEXT(COUNTIF($C$9:C14,C14),"00"))</f>
        <v/>
      </c>
      <c r="C14" s="6"/>
      <c r="D14" s="6"/>
      <c r="E14" s="6"/>
      <c r="F14" s="6"/>
      <c r="G14" s="7"/>
    </row>
    <row r="15" spans="2:7" x14ac:dyDescent="0.4">
      <c r="B15" s="6" t="str">
        <f>IF(C15="","",C15&amp;"-"&amp;TEXT(COUNTIF($C$9:C15,C15),"00"))</f>
        <v/>
      </c>
      <c r="C15" s="2"/>
      <c r="D15" s="6"/>
      <c r="E15" s="2"/>
      <c r="F15" s="2"/>
    </row>
    <row r="16" spans="2:7" x14ac:dyDescent="0.4">
      <c r="B16" s="6" t="str">
        <f>IF(C16="","",C16&amp;"-"&amp;TEXT(COUNTIF($C$9:C16,C16),"00"))</f>
        <v/>
      </c>
      <c r="C16" s="2"/>
      <c r="D16" s="6"/>
      <c r="E16" s="2"/>
      <c r="F16" s="2"/>
    </row>
    <row r="17" spans="2:6" x14ac:dyDescent="0.4">
      <c r="B17" s="6" t="str">
        <f>IF(C17="","",C17&amp;"-"&amp;TEXT(COUNTIF($C$9:C17,C17),"00"))</f>
        <v/>
      </c>
      <c r="C17" s="2"/>
      <c r="D17" s="6"/>
      <c r="E17" s="2"/>
      <c r="F17" s="2"/>
    </row>
    <row r="18" spans="2:6" x14ac:dyDescent="0.4">
      <c r="B18" s="6" t="str">
        <f>IF(C18="","",C18&amp;"-"&amp;TEXT(COUNTIF($C$9:C18,C18),"00"))</f>
        <v/>
      </c>
      <c r="C18" s="2"/>
      <c r="D18" s="6"/>
      <c r="E18" s="2"/>
      <c r="F18" s="2"/>
    </row>
    <row r="19" spans="2:6" x14ac:dyDescent="0.4">
      <c r="B19" s="6" t="str">
        <f>IF(C19="","",C19&amp;"-"&amp;TEXT(COUNTIF($C$9:C19,C19),"00"))</f>
        <v/>
      </c>
      <c r="C19" s="2"/>
      <c r="D19" s="6"/>
      <c r="E19" s="2"/>
      <c r="F19" s="2"/>
    </row>
    <row r="20" spans="2:6" x14ac:dyDescent="0.4">
      <c r="B20" s="6" t="str">
        <f>IF(C20="","",C20&amp;"-"&amp;TEXT(COUNTIF($C$9:C20,C20),"00"))</f>
        <v/>
      </c>
      <c r="C20" s="2"/>
      <c r="D20" s="6"/>
      <c r="E20" s="2"/>
      <c r="F20" s="2"/>
    </row>
    <row r="21" spans="2:6" x14ac:dyDescent="0.4">
      <c r="B21" s="6" t="str">
        <f>IF(C21="","",C21&amp;"-"&amp;TEXT(COUNTIF($C$9:C21,C21),"00"))</f>
        <v/>
      </c>
      <c r="C21" s="2"/>
      <c r="D21" s="6"/>
      <c r="E21" s="2"/>
      <c r="F21" s="2"/>
    </row>
    <row r="22" spans="2:6" x14ac:dyDescent="0.4">
      <c r="B22" s="6" t="str">
        <f>IF(C22="","",C22&amp;"-"&amp;TEXT(COUNTIF($C$9:C22,C22),"00"))</f>
        <v/>
      </c>
      <c r="C22" s="2"/>
      <c r="D22" s="6"/>
      <c r="E22" s="2"/>
      <c r="F22" s="2"/>
    </row>
    <row r="23" spans="2:6" x14ac:dyDescent="0.4">
      <c r="B23" s="6" t="str">
        <f>IF(C23="","",C23&amp;"-"&amp;TEXT(COUNTIF($C$9:C23,C23),"00"))</f>
        <v/>
      </c>
      <c r="C23" s="2"/>
      <c r="D23" s="6"/>
      <c r="E23" s="2"/>
      <c r="F23" s="2"/>
    </row>
    <row r="24" spans="2:6" x14ac:dyDescent="0.4">
      <c r="B24" s="6" t="str">
        <f>IF(C24="","",C24&amp;"-"&amp;TEXT(COUNTIF($C$9:C24,C24),"00"))</f>
        <v/>
      </c>
      <c r="C24" s="2"/>
      <c r="D24" s="6"/>
      <c r="E24" s="2"/>
      <c r="F24" s="2"/>
    </row>
    <row r="25" spans="2:6" x14ac:dyDescent="0.4">
      <c r="B25" s="6" t="str">
        <f>IF(C25="","",C25&amp;"-"&amp;TEXT(COUNTIF($C$9:C25,C25),"00"))</f>
        <v/>
      </c>
      <c r="C25" s="2"/>
      <c r="D25" s="6"/>
      <c r="E25" s="2"/>
      <c r="F25" s="2"/>
    </row>
    <row r="26" spans="2:6" x14ac:dyDescent="0.4">
      <c r="B26" s="6" t="str">
        <f>IF(C26="","",C26&amp;"-"&amp;TEXT(COUNTIF($C$9:C26,C26),"00"))</f>
        <v/>
      </c>
      <c r="C26" s="2"/>
      <c r="D26" s="6"/>
      <c r="E26" s="2"/>
      <c r="F26" s="2"/>
    </row>
    <row r="27" spans="2:6" x14ac:dyDescent="0.4">
      <c r="B27" s="6" t="str">
        <f>IF(C27="","",C27&amp;"-"&amp;TEXT(COUNTIF($C$9:C27,C27),"00"))</f>
        <v/>
      </c>
      <c r="C27" s="2"/>
      <c r="D27" s="6"/>
      <c r="E27" s="2"/>
      <c r="F27" s="2"/>
    </row>
    <row r="28" spans="2:6" x14ac:dyDescent="0.4">
      <c r="B28" s="6" t="str">
        <f>IF(C28="","",C28&amp;"-"&amp;TEXT(COUNTIF($C$9:C28,C28),"00"))</f>
        <v/>
      </c>
      <c r="C28" s="2"/>
      <c r="D28" s="6"/>
      <c r="E28" s="2"/>
      <c r="F28" s="2"/>
    </row>
    <row r="29" spans="2:6" x14ac:dyDescent="0.4">
      <c r="B29" s="6" t="str">
        <f>IF(C29="","",C29&amp;"-"&amp;TEXT(COUNTIF($C$9:C29,C29),"00"))</f>
        <v/>
      </c>
      <c r="C29" s="2"/>
      <c r="D29" s="6"/>
      <c r="E29" s="2"/>
      <c r="F29" s="2"/>
    </row>
    <row r="30" spans="2:6" x14ac:dyDescent="0.4">
      <c r="B30" s="6" t="str">
        <f>IF(C30="","",C30&amp;"-"&amp;TEXT(COUNTIF($C$9:C30,C30),"00"))</f>
        <v/>
      </c>
      <c r="C30" s="2"/>
      <c r="D30" s="6"/>
      <c r="E30" s="2"/>
      <c r="F30" s="2"/>
    </row>
    <row r="31" spans="2:6" x14ac:dyDescent="0.4">
      <c r="B31" s="6" t="str">
        <f>IF(C31="","",C31&amp;"-"&amp;TEXT(COUNTIF($C$9:C31,C31),"00"))</f>
        <v/>
      </c>
      <c r="C31" s="2"/>
      <c r="D31" s="6"/>
      <c r="E31" s="2"/>
      <c r="F31" s="2"/>
    </row>
    <row r="32" spans="2:6" x14ac:dyDescent="0.4">
      <c r="B32" s="6" t="str">
        <f>IF(C32="","",C32&amp;"-"&amp;TEXT(COUNTIF($C$9:C32,C32),"00"))</f>
        <v/>
      </c>
      <c r="C32" s="2"/>
      <c r="D32" s="6"/>
      <c r="E32" s="2"/>
      <c r="F32" s="2"/>
    </row>
    <row r="33" spans="2:6" x14ac:dyDescent="0.4">
      <c r="B33" s="6" t="str">
        <f>IF(C33="","",C33&amp;"-"&amp;TEXT(COUNTIF($C$9:C33,C33),"00"))</f>
        <v/>
      </c>
      <c r="C33" s="2"/>
      <c r="D33" s="6"/>
      <c r="E33" s="2"/>
      <c r="F33" s="2"/>
    </row>
    <row r="34" spans="2:6" x14ac:dyDescent="0.4">
      <c r="B34" s="6" t="str">
        <f>IF(C34="","",C34&amp;"-"&amp;TEXT(COUNTIF($C$9:C34,C34),"00"))</f>
        <v/>
      </c>
      <c r="C34" s="2"/>
      <c r="D34" s="6"/>
      <c r="E34" s="2"/>
      <c r="F34" s="2"/>
    </row>
    <row r="35" spans="2:6" x14ac:dyDescent="0.4">
      <c r="B35" s="6" t="str">
        <f>IF(C35="","",C35&amp;"-"&amp;TEXT(COUNTIF($C$9:C35,C35),"00"))</f>
        <v/>
      </c>
      <c r="C35" s="2"/>
      <c r="D35" s="6"/>
      <c r="E35" s="2"/>
      <c r="F35" s="2"/>
    </row>
    <row r="36" spans="2:6" x14ac:dyDescent="0.4">
      <c r="B36" s="6" t="str">
        <f>IF(C36="","",C36&amp;"-"&amp;TEXT(COUNTIF($C$9:C36,C36),"00"))</f>
        <v/>
      </c>
      <c r="C36" s="2"/>
      <c r="D36" s="6"/>
      <c r="E36" s="2"/>
      <c r="F36" s="2"/>
    </row>
    <row r="37" spans="2:6" x14ac:dyDescent="0.4">
      <c r="B37" s="6" t="str">
        <f>IF(C37="","",C37&amp;"-"&amp;TEXT(COUNTIF($C$9:C37,C37),"00"))</f>
        <v/>
      </c>
      <c r="C37" s="2"/>
      <c r="D37" s="6"/>
      <c r="E37" s="2"/>
      <c r="F37" s="2"/>
    </row>
    <row r="38" spans="2:6" x14ac:dyDescent="0.4">
      <c r="B38" s="6" t="str">
        <f>IF(C38="","",C38&amp;"-"&amp;TEXT(COUNTIF($C$9:C38,C38),"00"))</f>
        <v/>
      </c>
      <c r="C38" s="2"/>
      <c r="D38" s="6"/>
      <c r="E38" s="2"/>
      <c r="F38" s="2"/>
    </row>
    <row r="39" spans="2:6" x14ac:dyDescent="0.4">
      <c r="B39" s="6" t="str">
        <f>IF(C39="","",C39&amp;"-"&amp;TEXT(COUNTIF($C$9:C39,C39),"00"))</f>
        <v/>
      </c>
      <c r="C39" s="2"/>
      <c r="D39" s="6"/>
      <c r="E39" s="2"/>
      <c r="F39" s="2"/>
    </row>
    <row r="40" spans="2:6" x14ac:dyDescent="0.4">
      <c r="B40" s="6" t="str">
        <f>IF(C40="","",C40&amp;"-"&amp;TEXT(COUNTIF($C$9:C40,C40),"00"))</f>
        <v/>
      </c>
      <c r="C40" s="2"/>
      <c r="D40" s="6"/>
      <c r="E40" s="2"/>
      <c r="F40" s="2"/>
    </row>
    <row r="41" spans="2:6" x14ac:dyDescent="0.4">
      <c r="B41" s="6" t="str">
        <f>IF(C41="","",C41&amp;"-"&amp;TEXT(COUNTIF($C$9:C41,C41),"00"))</f>
        <v/>
      </c>
      <c r="C41" s="2"/>
      <c r="D41" s="6"/>
      <c r="E41" s="2"/>
      <c r="F41" s="2"/>
    </row>
    <row r="42" spans="2:6" x14ac:dyDescent="0.4">
      <c r="B42" s="6" t="str">
        <f>IF(C42="","",C42&amp;"-"&amp;TEXT(COUNTIF($C$9:C42,C42),"00"))</f>
        <v/>
      </c>
      <c r="C42" s="2"/>
      <c r="D42" s="6"/>
      <c r="E42" s="2"/>
      <c r="F42" s="2"/>
    </row>
    <row r="43" spans="2:6" x14ac:dyDescent="0.4">
      <c r="B43" s="6" t="str">
        <f>IF(C43="","",C43&amp;"-"&amp;TEXT(COUNTIF($C$9:C43,C43),"00"))</f>
        <v/>
      </c>
      <c r="C43" s="2"/>
      <c r="D43" s="6"/>
      <c r="E43" s="2"/>
      <c r="F43" s="2"/>
    </row>
    <row r="44" spans="2:6" x14ac:dyDescent="0.4">
      <c r="B44" s="6" t="str">
        <f>IF(C44="","",C44&amp;"-"&amp;TEXT(COUNTIF($C$9:C44,C44),"00"))</f>
        <v/>
      </c>
      <c r="C44" s="2"/>
      <c r="D44" s="6"/>
      <c r="E44" s="2"/>
      <c r="F44" s="2"/>
    </row>
    <row r="45" spans="2:6" x14ac:dyDescent="0.4">
      <c r="B45" s="6" t="str">
        <f>IF(C45="","",C45&amp;"-"&amp;TEXT(COUNTIF($C$9:C45,C45),"00"))</f>
        <v/>
      </c>
      <c r="C45" s="2"/>
      <c r="D45" s="6"/>
      <c r="E45" s="2"/>
      <c r="F45" s="2"/>
    </row>
    <row r="46" spans="2:6" x14ac:dyDescent="0.4">
      <c r="B46" s="6" t="str">
        <f>IF(C46="","",C46&amp;"-"&amp;TEXT(COUNTIF($C$9:C46,C46),"00"))</f>
        <v/>
      </c>
      <c r="C46" s="2"/>
      <c r="D46" s="6"/>
      <c r="E46" s="2"/>
      <c r="F46" s="2"/>
    </row>
    <row r="47" spans="2:6" x14ac:dyDescent="0.4">
      <c r="B47" s="6" t="str">
        <f>IF(C47="","",C47&amp;"-"&amp;TEXT(COUNTIF($C$9:C47,C47),"00"))</f>
        <v/>
      </c>
      <c r="C47" s="2"/>
      <c r="D47" s="6"/>
      <c r="E47" s="2"/>
      <c r="F47" s="2"/>
    </row>
    <row r="48" spans="2:6" x14ac:dyDescent="0.4">
      <c r="B48" s="6" t="str">
        <f>IF(C48="","",C48&amp;"-"&amp;TEXT(COUNTIF($C$9:C48,C48),"00"))</f>
        <v/>
      </c>
      <c r="C48" s="2"/>
      <c r="D48" s="6"/>
      <c r="E48" s="2"/>
      <c r="F48" s="2"/>
    </row>
    <row r="49" spans="2:6" x14ac:dyDescent="0.4">
      <c r="B49" s="6" t="str">
        <f>IF(C49="","",C49&amp;"-"&amp;TEXT(COUNTIF($C$9:C49,C49),"00"))</f>
        <v/>
      </c>
      <c r="C49" s="2"/>
      <c r="D49" s="6"/>
      <c r="E49" s="2"/>
      <c r="F49" s="2"/>
    </row>
    <row r="50" spans="2:6" x14ac:dyDescent="0.4">
      <c r="B50" s="6" t="str">
        <f>IF(C50="","",C50&amp;"-"&amp;TEXT(COUNTIF($C$9:C50,C50),"00"))</f>
        <v/>
      </c>
      <c r="C50" s="2"/>
      <c r="D50" s="6"/>
      <c r="E50" s="2"/>
      <c r="F50" s="2"/>
    </row>
    <row r="51" spans="2:6" x14ac:dyDescent="0.4">
      <c r="B51" s="6" t="str">
        <f>IF(C51="","",C51&amp;"-"&amp;TEXT(COUNTIF($C$9:C51,C51),"00"))</f>
        <v/>
      </c>
      <c r="C51" s="2"/>
      <c r="D51" s="6"/>
      <c r="E51" s="2"/>
      <c r="F51" s="2"/>
    </row>
    <row r="52" spans="2:6" x14ac:dyDescent="0.4">
      <c r="B52" s="6" t="str">
        <f>IF(C52="","",C52&amp;"-"&amp;TEXT(COUNTIF($C$9:C52,C52),"00"))</f>
        <v/>
      </c>
      <c r="C52" s="2"/>
      <c r="D52" s="6"/>
      <c r="E52" s="2"/>
      <c r="F52" s="2"/>
    </row>
    <row r="53" spans="2:6" x14ac:dyDescent="0.4">
      <c r="B53" s="6" t="str">
        <f>IF(C53="","",C53&amp;"-"&amp;TEXT(COUNTIF($C$9:C53,C53),"00"))</f>
        <v/>
      </c>
      <c r="C53" s="2"/>
      <c r="D53" s="6"/>
      <c r="E53" s="2"/>
      <c r="F53" s="2"/>
    </row>
    <row r="54" spans="2:6" x14ac:dyDescent="0.4">
      <c r="B54" s="6" t="str">
        <f>IF(C54="","",C54&amp;"-"&amp;TEXT(COUNTIF($C$9:C54,C54),"00"))</f>
        <v/>
      </c>
      <c r="C54" s="2"/>
      <c r="D54" s="6"/>
      <c r="E54" s="2"/>
      <c r="F54" s="2"/>
    </row>
    <row r="55" spans="2:6" x14ac:dyDescent="0.4">
      <c r="B55" s="6" t="str">
        <f>IF(C55="","",C55&amp;"-"&amp;TEXT(COUNTIF($C$9:C55,C55),"00"))</f>
        <v/>
      </c>
      <c r="C55" s="2"/>
      <c r="D55" s="6"/>
      <c r="E55" s="2"/>
      <c r="F55" s="2"/>
    </row>
    <row r="56" spans="2:6" x14ac:dyDescent="0.4">
      <c r="B56" s="6" t="str">
        <f>IF(C56="","",C56&amp;"-"&amp;TEXT(COUNTIF($C$9:C56,C56),"00"))</f>
        <v/>
      </c>
      <c r="C56" s="2"/>
      <c r="D56" s="6"/>
      <c r="E56" s="2"/>
      <c r="F56" s="2"/>
    </row>
    <row r="57" spans="2:6" x14ac:dyDescent="0.4">
      <c r="B57" s="6" t="str">
        <f>IF(C57="","",C57&amp;"-"&amp;TEXT(COUNTIF($C$9:C57,C57),"00"))</f>
        <v/>
      </c>
      <c r="C57" s="2"/>
      <c r="D57" s="6"/>
      <c r="E57" s="2"/>
      <c r="F57" s="2"/>
    </row>
    <row r="58" spans="2:6" x14ac:dyDescent="0.4">
      <c r="B58" s="6" t="str">
        <f>IF(C58="","",C58&amp;"-"&amp;TEXT(COUNTIF($C$9:C58,C58),"00"))</f>
        <v/>
      </c>
      <c r="C58" s="2"/>
      <c r="D58" s="6"/>
      <c r="E58" s="2"/>
      <c r="F58" s="2"/>
    </row>
    <row r="59" spans="2:6" x14ac:dyDescent="0.4">
      <c r="B59" s="6" t="str">
        <f>IF(C59="","",C59&amp;"-"&amp;TEXT(COUNTIF($C$9:C59,C59),"00"))</f>
        <v/>
      </c>
      <c r="C59" s="2"/>
      <c r="D59" s="6"/>
      <c r="E59" s="2"/>
      <c r="F59" s="2"/>
    </row>
    <row r="60" spans="2:6" x14ac:dyDescent="0.4">
      <c r="B60" s="6" t="str">
        <f>IF(C60="","",C60&amp;"-"&amp;TEXT(COUNTIF($C$9:C60,C60),"00"))</f>
        <v/>
      </c>
      <c r="C60" s="2"/>
      <c r="D60" s="6"/>
      <c r="E60" s="2"/>
      <c r="F60" s="2"/>
    </row>
    <row r="61" spans="2:6" x14ac:dyDescent="0.4">
      <c r="B61" s="6" t="str">
        <f>IF(C61="","",C61&amp;"-"&amp;TEXT(COUNTIF($C$9:C61,C61),"00"))</f>
        <v/>
      </c>
      <c r="C61" s="2"/>
      <c r="D61" s="6"/>
      <c r="E61" s="2"/>
      <c r="F61" s="2"/>
    </row>
    <row r="62" spans="2:6" x14ac:dyDescent="0.4">
      <c r="B62" s="6" t="str">
        <f>IF(C62="","",C62&amp;"-"&amp;TEXT(COUNTIF($C$9:C62,C62),"00"))</f>
        <v/>
      </c>
      <c r="C62" s="2"/>
      <c r="D62" s="6"/>
      <c r="E62" s="2"/>
      <c r="F62" s="2"/>
    </row>
    <row r="63" spans="2:6" x14ac:dyDescent="0.4">
      <c r="B63" s="6" t="str">
        <f>IF(C63="","",C63&amp;"-"&amp;TEXT(COUNTIF($C$9:C63,C63),"00"))</f>
        <v/>
      </c>
      <c r="C63" s="2"/>
      <c r="D63" s="6"/>
      <c r="E63" s="2"/>
      <c r="F63" s="2"/>
    </row>
  </sheetData>
  <mergeCells count="1">
    <mergeCell ref="B2:C2"/>
  </mergeCells>
  <phoneticPr fontId="1" type="noConversion"/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BF9D33C-22AC-40BC-9361-81301703ED1F}">
          <x14:formula1>
            <xm:f>시스템리스트!$A$1:$A$9</xm:f>
          </x14:formula1>
          <xm:sqref>C9:C63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D00F4-64C8-41CF-91F3-DA21214EAD7A}">
  <dimension ref="B2:B4"/>
  <sheetViews>
    <sheetView showGridLines="0" zoomScaleNormal="100" workbookViewId="0"/>
  </sheetViews>
  <sheetFormatPr defaultRowHeight="17.399999999999999" x14ac:dyDescent="0.4"/>
  <cols>
    <col min="1" max="1" width="2.8984375" customWidth="1"/>
  </cols>
  <sheetData>
    <row r="2" spans="2:2" x14ac:dyDescent="0.4">
      <c r="B2" s="17" t="s">
        <v>53</v>
      </c>
    </row>
    <row r="3" spans="2:2" x14ac:dyDescent="0.4">
      <c r="B3" s="17" t="s">
        <v>64</v>
      </c>
    </row>
    <row r="4" spans="2:2" x14ac:dyDescent="0.4">
      <c r="B4" s="18" t="s">
        <v>33</v>
      </c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C1550-E500-4641-A3D9-073B05436A78}">
  <dimension ref="A1:A9"/>
  <sheetViews>
    <sheetView workbookViewId="0">
      <selection activeCell="C17" sqref="C17"/>
    </sheetView>
  </sheetViews>
  <sheetFormatPr defaultRowHeight="17.399999999999999" x14ac:dyDescent="0.4"/>
  <sheetData>
    <row r="1" spans="1:1" x14ac:dyDescent="0.4">
      <c r="A1" t="s">
        <v>7</v>
      </c>
    </row>
    <row r="2" spans="1:1" x14ac:dyDescent="0.4">
      <c r="A2" t="s">
        <v>8</v>
      </c>
    </row>
    <row r="3" spans="1:1" x14ac:dyDescent="0.4">
      <c r="A3" t="s">
        <v>9</v>
      </c>
    </row>
    <row r="4" spans="1:1" x14ac:dyDescent="0.4">
      <c r="A4" t="s">
        <v>10</v>
      </c>
    </row>
    <row r="5" spans="1:1" x14ac:dyDescent="0.4">
      <c r="A5" t="s">
        <v>11</v>
      </c>
    </row>
    <row r="6" spans="1:1" x14ac:dyDescent="0.4">
      <c r="A6" t="s">
        <v>12</v>
      </c>
    </row>
    <row r="7" spans="1:1" x14ac:dyDescent="0.4">
      <c r="A7" t="s">
        <v>13</v>
      </c>
    </row>
    <row r="8" spans="1:1" x14ac:dyDescent="0.4">
      <c r="A8" t="s">
        <v>14</v>
      </c>
    </row>
    <row r="9" spans="1:1" x14ac:dyDescent="0.4">
      <c r="A9" t="s">
        <v>15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(작성 가이드)</vt:lpstr>
      <vt:lpstr>데이터 전체 리스트</vt:lpstr>
      <vt:lpstr>PI</vt:lpstr>
      <vt:lpstr>시스템리스트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 단아</dc:creator>
  <cp:lastModifiedBy>이 가은</cp:lastModifiedBy>
  <dcterms:created xsi:type="dcterms:W3CDTF">2026-06-15T07:08:44Z</dcterms:created>
  <dcterms:modified xsi:type="dcterms:W3CDTF">2026-08-10T08:24:55Z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Id">
    <vt:lpwstr>f1faae37-8284-4b20-9ce4-a3c45c3897ee</vt:lpwstr>
  </property>
</Properties>
</file>